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481C3B2E-E9CF-4FE9-A938-68D07C6692AE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 l="1"/>
  <c r="C16" i="1"/>
  <c r="C15" i="1"/>
  <c r="C23" i="1"/>
  <c r="C22" i="1"/>
  <c r="C21" i="1"/>
  <c r="C27" i="1"/>
  <c r="C25" i="1"/>
  <c r="C12" i="1"/>
  <c r="C10" i="1"/>
  <c r="C8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<sst xmlns="http://schemas.openxmlformats.org/spreadsheetml/2006/main" count="22" uniqueCount="22">
  <si>
    <t>Специалисты</t>
  </si>
  <si>
    <t xml:space="preserve">Fullstack разработчик </t>
  </si>
  <si>
    <t>JavaScript/React разработчик </t>
  </si>
  <si>
    <t>Backend‑разработчик</t>
  </si>
  <si>
    <t>Бухгалтер</t>
  </si>
  <si>
    <t>Реклама</t>
  </si>
  <si>
    <t>Интернет</t>
  </si>
  <si>
    <t>Комунальные услуги</t>
  </si>
  <si>
    <t>Кухня</t>
  </si>
  <si>
    <t>Убощик помещения</t>
  </si>
  <si>
    <t>Суммарный расход</t>
  </si>
  <si>
    <t>Дизайнер</t>
  </si>
  <si>
    <t>Тестировщик</t>
  </si>
  <si>
    <t>Расходы за месяц</t>
  </si>
  <si>
    <t>Расходы за весь период разработки</t>
  </si>
  <si>
    <t>Разработка по времени(мес)</t>
  </si>
  <si>
    <t>Лицензии и оборудование</t>
  </si>
  <si>
    <t>Лицензии на ПО</t>
  </si>
  <si>
    <t>Компьютеры</t>
  </si>
  <si>
    <t>Проекторы</t>
  </si>
  <si>
    <t>Аренда помещения</t>
  </si>
  <si>
    <t>Коммунальные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</si>
</sst>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2A3137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0" fillId="0" borderId="1" xfId="0" applyBorder="1" applyAlignment="1">
      <alignment horizontal="right"/>
    </xf>
    <xf numFmtId="43" fontId="0" fillId="0" borderId="0" xfId="1" applyFont="1"/>
    <xf numFmtId="3" fontId="0" fillId="0" borderId="1" xfId="0" applyNumberFormat="1" applyBorder="1" applyAlignment="1">
      <alignment horizontal="right"/>
    </xf>
    <xf numFmtId="43" fontId="0" fillId="0" borderId="1" xfId="1" applyFont="1" applyBorder="1"/>
    <xf numFmtId="0" fontId="4" fillId="0" borderId="1" xfId="0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F4" sqref="F4"/>
    </sheetView>
  </sheetViews>
  <sheetFormatPr defaultRowHeight="15" x14ac:dyDescent="0.25"/>
  <cols>
    <col min="1" max="1" width="35.7109375" customWidth="1"/>
    <col min="2" max="2" width="22.42578125" customWidth="1"/>
    <col min="3" max="3" width="43.7109375" customWidth="1"/>
    <col min="4" max="4" width="27" customWidth="1"/>
  </cols>
  <sheetData>
    <row r="1" spans="1:4" ht="18.75" x14ac:dyDescent="0.3">
      <c r="A1" s="5" t="s">
        <v>0</v>
      </c>
      <c r="B1" s="5" t="s">
        <v>13</v>
      </c>
      <c r="C1" s="1" t="s">
        <v>14</v>
      </c>
      <c r="D1" s="1" t="s">
        <v>10</v>
      </c>
    </row>
    <row r="2" spans="1:4" x14ac:dyDescent="0.25">
      <c r="A2" s="2" t="s">
        <v>1</v>
      </c>
      <c r="B2" s="3">
        <v>150000</v>
      </c>
      <c r="C2" s="9">
        <f>B2*B29</f>
        <v>3600000</v>
      </c>
      <c r="D2" s="9">
        <f>C2+C3+C4+C5+C6+C8+C10+C12+C15+C16+C21+C22+C23+C25+C27</f>
        <v>21388000</v>
      </c>
    </row>
    <row r="3" spans="1:4" x14ac:dyDescent="0.25">
      <c r="A3" s="4" t="s">
        <v>2</v>
      </c>
      <c r="B3" s="3">
        <v>40000</v>
      </c>
      <c r="C3" s="9">
        <f>B3*B29</f>
        <v>960000</v>
      </c>
    </row>
    <row r="4" spans="1:4" x14ac:dyDescent="0.25">
      <c r="A4" s="2" t="s">
        <v>3</v>
      </c>
      <c r="B4" s="3">
        <v>275000</v>
      </c>
      <c r="C4" s="9">
        <f>B4*B29</f>
        <v>6600000</v>
      </c>
    </row>
    <row r="5" spans="1:4" x14ac:dyDescent="0.25">
      <c r="A5" s="2" t="s">
        <v>11</v>
      </c>
      <c r="B5" s="8">
        <v>125000</v>
      </c>
      <c r="C5" s="9">
        <f>B5*B29</f>
        <v>3000000</v>
      </c>
    </row>
    <row r="6" spans="1:4" x14ac:dyDescent="0.25">
      <c r="A6" s="2" t="s">
        <v>12</v>
      </c>
      <c r="B6" s="3">
        <v>70000</v>
      </c>
      <c r="C6" s="9">
        <f>B6*4</f>
        <v>280000</v>
      </c>
    </row>
    <row r="7" spans="1:4" x14ac:dyDescent="0.25">
      <c r="C7" s="7"/>
    </row>
    <row r="8" spans="1:4" ht="18.75" x14ac:dyDescent="0.3">
      <c r="A8" s="1" t="s">
        <v>4</v>
      </c>
      <c r="B8" s="3">
        <v>80000</v>
      </c>
      <c r="C8" s="9">
        <f>B8*B29</f>
        <v>1920000</v>
      </c>
    </row>
    <row r="9" spans="1:4" x14ac:dyDescent="0.25">
      <c r="C9" s="7"/>
    </row>
    <row r="10" spans="1:4" ht="18.75" x14ac:dyDescent="0.3">
      <c r="A10" s="1" t="s">
        <v>5</v>
      </c>
      <c r="B10" s="3">
        <v>5000</v>
      </c>
      <c r="C10" s="9">
        <f>B10*B29</f>
        <v>120000</v>
      </c>
    </row>
    <row r="11" spans="1:4" x14ac:dyDescent="0.25">
      <c r="C11" s="7"/>
    </row>
    <row r="12" spans="1:4" ht="18.75" x14ac:dyDescent="0.3">
      <c r="A12" s="1" t="s">
        <v>6</v>
      </c>
      <c r="B12" s="3">
        <v>2000</v>
      </c>
      <c r="C12" s="9">
        <f>B12*B29</f>
        <v>48000</v>
      </c>
    </row>
    <row r="13" spans="1:4" x14ac:dyDescent="0.25">
      <c r="C13" s="7"/>
    </row>
    <row r="14" spans="1:4" ht="18.75" x14ac:dyDescent="0.3">
      <c r="A14" s="1" t="s">
        <v>7</v>
      </c>
      <c r="B14" s="3"/>
      <c r="C14" s="9"/>
    </row>
    <row r="15" spans="1:4" x14ac:dyDescent="0.25">
      <c r="A15" s="2" t="s">
        <v>20</v>
      </c>
      <c r="B15" s="3">
        <v>50000</v>
      </c>
      <c r="C15" s="9">
        <f>B15*B29</f>
        <v>1200000</v>
      </c>
    </row>
    <row r="16" spans="1:4" x14ac:dyDescent="0.25">
      <c r="A16" s="10" t="s">
        <v>21</v>
      </c>
      <c r="B16" s="3">
        <v>95000</v>
      </c>
      <c r="C16" s="9">
        <f>B16*B29</f>
        <v>2280000</v>
      </c>
    </row>
    <row r="20" spans="1:3" ht="18.75" x14ac:dyDescent="0.3">
      <c r="A20" s="1" t="s">
        <v>16</v>
      </c>
      <c r="B20" s="3"/>
      <c r="C20" s="9"/>
    </row>
    <row r="21" spans="1:3" x14ac:dyDescent="0.25">
      <c r="A21" s="2" t="s">
        <v>17</v>
      </c>
      <c r="B21" s="3">
        <v>5000</v>
      </c>
      <c r="C21" s="9">
        <f>B21*B29</f>
        <v>120000</v>
      </c>
    </row>
    <row r="22" spans="1:3" x14ac:dyDescent="0.25">
      <c r="A22" s="10" t="s">
        <v>18</v>
      </c>
      <c r="B22" s="3">
        <v>50000</v>
      </c>
      <c r="C22" s="9">
        <f>B22*5</f>
        <v>250000</v>
      </c>
    </row>
    <row r="23" spans="1:3" x14ac:dyDescent="0.25">
      <c r="A23" s="2" t="s">
        <v>19</v>
      </c>
      <c r="B23" s="3">
        <v>25000</v>
      </c>
      <c r="C23" s="9">
        <f>B23*2</f>
        <v>50000</v>
      </c>
    </row>
    <row r="24" spans="1:3" x14ac:dyDescent="0.25">
      <c r="C24" s="7"/>
    </row>
    <row r="25" spans="1:3" ht="18.75" x14ac:dyDescent="0.3">
      <c r="A25" s="1" t="s">
        <v>8</v>
      </c>
      <c r="B25" s="3">
        <v>20000</v>
      </c>
      <c r="C25" s="9">
        <f>B25*B29</f>
        <v>480000</v>
      </c>
    </row>
    <row r="26" spans="1:3" x14ac:dyDescent="0.25">
      <c r="C26" s="7"/>
    </row>
    <row r="27" spans="1:3" ht="18.75" x14ac:dyDescent="0.3">
      <c r="A27" s="1" t="s">
        <v>9</v>
      </c>
      <c r="B27" s="3">
        <v>20000</v>
      </c>
      <c r="C27" s="9">
        <f>B27*B29</f>
        <v>480000</v>
      </c>
    </row>
    <row r="28" spans="1:3" x14ac:dyDescent="0.25">
      <c r="C28" s="7"/>
    </row>
    <row r="29" spans="1:3" ht="18.75" x14ac:dyDescent="0.3">
      <c r="A29" s="1" t="s">
        <v>15</v>
      </c>
      <c r="B29" s="6">
        <v>24</v>
      </c>
      <c r="C29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2026-09-16T11:12:32Z</dcterms:modified>
</cp:coreProperties>
</file>